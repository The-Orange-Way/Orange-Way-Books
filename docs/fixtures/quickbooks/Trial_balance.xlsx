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Trial Balance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#,##0.00\ _€"/>
    <numFmt numFmtId="165" formatCode="&quot;$&quot;* #,##0.00\ _€"/>
  </numFmts>
  <fonts count="7">
    <font>
      <name val="Calibri"/>
      <family val="2"/>
      <color indexed="8"/>
      <sz val="11"/>
      <scheme val="minor"/>
    </font>
    <font>
      <name val="Arial"/>
      <b val="1"/>
      <color indexed="8"/>
      <sz val="9"/>
    </font>
    <font>
      <name val="Arial"/>
      <b val="1"/>
      <color indexed="8"/>
      <sz val="8"/>
    </font>
    <font>
      <name val="Arial"/>
      <color indexed="8"/>
      <sz val="8"/>
    </font>
    <font>
      <name val="Arial"/>
      <b val="1"/>
      <color indexed="8"/>
      <sz val="14"/>
    </font>
    <font>
      <name val="Arial"/>
      <b val="1"/>
      <color indexed="8"/>
      <sz val="10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4">
    <border>
      <left/>
      <right/>
      <top/>
      <bottom/>
      <diagonal/>
    </border>
    <border>
      <bottom style="thin"/>
    </border>
    <border>
      <top style="thin"/>
    </border>
    <border>
      <top style="thin"/>
      <bottom>
        <color indexed="6"/>
      </bottom>
    </border>
  </borders>
  <cellStyleXfs count="1">
    <xf numFmtId="0" fontId="6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wrapText="1"/>
    </xf>
    <xf numFmtId="0" fontId="2" fillId="0" borderId="0" applyAlignment="1" pivotButton="0" quotePrefix="0" xfId="0">
      <alignment horizontal="left" wrapText="1"/>
    </xf>
    <xf numFmtId="164" fontId="3" fillId="0" borderId="0" applyAlignment="1" pivotButton="0" quotePrefix="0" xfId="0">
      <alignment horizontal="right" wrapText="1"/>
    </xf>
    <xf numFmtId="164" fontId="3" fillId="0" borderId="0" applyAlignment="1" pivotButton="0" quotePrefix="0" xfId="0">
      <alignment wrapText="1"/>
    </xf>
    <xf numFmtId="165" fontId="2" fillId="0" borderId="3" applyAlignment="1" pivotButton="0" quotePrefix="0" xfId="0">
      <alignment horizontal="right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tabSelected="1" workbookViewId="0">
      <selection activeCell="A1" sqref="A1"/>
    </sheetView>
  </sheetViews>
  <sheetFormatPr baseColWidth="8" defaultRowHeight="15"/>
  <cols>
    <col width="35.234375" customWidth="1" min="1" max="1"/>
    <col width="9.453125" customWidth="1" min="2" max="2"/>
    <col width="9.453125" customWidth="1" min="3" max="3"/>
  </cols>
  <sheetData>
    <row r="1">
      <c r="A1" s="8" t="inlineStr">
        <is>
          <t>Orion Trading Co.</t>
        </is>
      </c>
    </row>
    <row r="2">
      <c r="A2" s="8" t="inlineStr">
        <is>
          <t>Trial Balance</t>
        </is>
      </c>
    </row>
    <row r="3">
      <c r="A3" s="9" t="inlineStr">
        <is>
          <t>As of December 31, 2025</t>
        </is>
      </c>
    </row>
    <row r="5">
      <c r="A5" s="1" t="n"/>
      <c r="B5" s="2" t="inlineStr">
        <is>
          <t>Debit</t>
        </is>
      </c>
      <c r="C5" s="2" t="inlineStr">
        <is>
          <t>Credit</t>
        </is>
      </c>
    </row>
    <row r="6">
      <c r="A6" s="3" t="inlineStr">
        <is>
          <t>First National Checking</t>
        </is>
      </c>
      <c r="B6" s="4">
        <f>0.00</f>
        <v/>
      </c>
      <c r="C6" s="5" t="n"/>
    </row>
    <row r="7">
      <c r="A7" s="3" t="inlineStr">
        <is>
          <t>First National Savings</t>
        </is>
      </c>
      <c r="B7" s="4">
        <f>5.00</f>
        <v/>
      </c>
      <c r="C7" s="5" t="n"/>
    </row>
    <row r="8">
      <c r="A8" s="3" t="inlineStr">
        <is>
          <t>Summit OpEx Checking</t>
        </is>
      </c>
      <c r="B8" s="4">
        <f>1984.11</f>
        <v/>
      </c>
      <c r="C8" s="5" t="n"/>
    </row>
    <row r="9">
      <c r="A9" s="3" t="inlineStr">
        <is>
          <t>Accounts Receivable (A/R)</t>
        </is>
      </c>
      <c r="B9" s="4">
        <f>2593.00</f>
        <v/>
      </c>
      <c r="C9" s="5" t="n"/>
    </row>
    <row r="10">
      <c r="A10" s="3" t="inlineStr">
        <is>
          <t>Undeposited Funds</t>
        </is>
      </c>
      <c r="B10" s="4">
        <f>731.00</f>
        <v/>
      </c>
      <c r="C10" s="5" t="n"/>
    </row>
    <row r="11">
      <c r="A11" s="3" t="inlineStr">
        <is>
          <t>Summit Business Credit Card</t>
        </is>
      </c>
      <c r="B11" s="5" t="n"/>
      <c r="C11" s="4">
        <f>0.00</f>
        <v/>
      </c>
    </row>
    <row r="12">
      <c r="A12" s="3" t="inlineStr">
        <is>
          <t>Accrued payable</t>
        </is>
      </c>
      <c r="B12" s="4">
        <f>600.41</f>
        <v/>
      </c>
      <c r="C12" s="5" t="n"/>
    </row>
    <row r="13">
      <c r="A13" s="3" t="inlineStr">
        <is>
          <t>Lighthouse Growth Financing</t>
        </is>
      </c>
      <c r="B13" s="5" t="n"/>
      <c r="C13" s="4">
        <f>10221.75</f>
        <v/>
      </c>
    </row>
    <row r="14">
      <c r="A14" s="3" t="inlineStr">
        <is>
          <t>Opening Balance Equity</t>
        </is>
      </c>
      <c r="B14" s="5" t="n"/>
      <c r="C14" s="4">
        <f>6.00</f>
        <v/>
      </c>
    </row>
    <row r="15">
      <c r="A15" s="3" t="inlineStr">
        <is>
          <t>Initial Sales</t>
        </is>
      </c>
      <c r="B15" s="5" t="n"/>
      <c r="C15" s="4">
        <f>9110.03</f>
        <v/>
      </c>
    </row>
    <row r="16">
      <c r="A16" s="3" t="inlineStr">
        <is>
          <t>Upsales</t>
        </is>
      </c>
      <c r="B16" s="5" t="n"/>
      <c r="C16" s="4">
        <f>10.00</f>
        <v/>
      </c>
    </row>
    <row r="17">
      <c r="A17" s="3" t="inlineStr">
        <is>
          <t>Advertising</t>
        </is>
      </c>
      <c r="B17" s="4">
        <f>4053.67</f>
        <v/>
      </c>
      <c r="C17" s="5" t="n"/>
    </row>
    <row r="18">
      <c r="A18" s="3" t="inlineStr">
        <is>
          <t>Bank Charges</t>
        </is>
      </c>
      <c r="B18" s="4">
        <f>111.22</f>
        <v/>
      </c>
      <c r="C18" s="5" t="n"/>
    </row>
    <row r="19">
      <c r="A19" s="3" t="inlineStr">
        <is>
          <t>Communication expense</t>
        </is>
      </c>
      <c r="B19" s="4">
        <f>380.14</f>
        <v/>
      </c>
      <c r="C19" s="5" t="n"/>
    </row>
    <row r="20">
      <c r="A20" s="3" t="inlineStr">
        <is>
          <t>Dues &amp; subscriptions</t>
        </is>
      </c>
      <c r="B20" s="4">
        <f>63.84</f>
        <v/>
      </c>
      <c r="C20" s="5" t="n"/>
    </row>
    <row r="21">
      <c r="A21" s="3" t="inlineStr">
        <is>
          <t>Insurance</t>
        </is>
      </c>
      <c r="B21" s="4">
        <f>65.00</f>
        <v/>
      </c>
      <c r="C21" s="5" t="n"/>
    </row>
    <row r="22">
      <c r="A22" s="3" t="inlineStr">
        <is>
          <t>Interest</t>
        </is>
      </c>
      <c r="B22" s="4">
        <f>251.74</f>
        <v/>
      </c>
      <c r="C22" s="5" t="n"/>
    </row>
    <row r="23">
      <c r="A23" s="3" t="inlineStr">
        <is>
          <t>Outside services/Independent contractors</t>
        </is>
      </c>
      <c r="B23" s="4">
        <f>8330.60</f>
        <v/>
      </c>
      <c r="C23" s="5" t="n"/>
    </row>
    <row r="24">
      <c r="A24" s="3" t="inlineStr">
        <is>
          <t>QuickBooks Payments Fees</t>
        </is>
      </c>
      <c r="B24" s="4">
        <f>245.27</f>
        <v/>
      </c>
      <c r="C24" s="5" t="n"/>
    </row>
    <row r="25">
      <c r="A25" s="3" t="inlineStr">
        <is>
          <t>Rebate Income</t>
        </is>
      </c>
      <c r="B25" s="5" t="n"/>
      <c r="C25" s="4">
        <f>67.22</f>
        <v/>
      </c>
    </row>
    <row r="26">
      <c r="A26" s="3" t="inlineStr">
        <is>
          <t>TOTAL</t>
        </is>
      </c>
      <c r="B26" s="6">
        <f>(((((((((((((((((((B6)+(B7))+(B8))+(B9))+(B10))+(B11))+(B12))+(B13))+(B14))+(B15))+(B16))+(B17))+(B18))+(B19))+(B20))+(B21))+(B22))+(B23))+(B24))+(B25)</f>
        <v/>
      </c>
      <c r="C26" s="6">
        <f>(((((((((((((((((((C6)+(C7))+(C8))+(C9))+(C10))+(C11))+(C12))+(C13))+(C14))+(C15))+(C16))+(C17))+(C18))+(C19))+(C20))+(C21))+(C22))+(C23))+(C24))+(C25)</f>
        <v/>
      </c>
    </row>
    <row r="27">
      <c r="A27" s="3" t="n"/>
      <c r="B27" s="5" t="n"/>
      <c r="C27" s="5" t="n"/>
    </row>
    <row r="30">
      <c r="A30" s="7" t="inlineStr">
        <is>
          <t>Tuesday, Apr 21, 2026 10:29:59 AM GMT-7 - Accrual Basis</t>
        </is>
      </c>
    </row>
  </sheetData>
  <mergeCells count="4">
    <mergeCell ref="A1:C1"/>
    <mergeCell ref="A3:C3"/>
    <mergeCell ref="A2:C2"/>
    <mergeCell ref="A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2026-04-21T17:29:59Z</dcterms:created>
  <dcterms:modified xsi:type="dcterms:W3CDTF">2026-04-22T18:15:34Z</dcterms:modified>
</cp:coreProperties>
</file>