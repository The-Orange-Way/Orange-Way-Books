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b val="1"/>
      <color indexed="8"/>
      <sz val="8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6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wrapText="1"/>
    </xf>
    <xf numFmtId="164" fontId="3" fillId="0" borderId="0" applyAlignment="1" pivotButton="0" quotePrefix="0" xfId="0">
      <alignment horizontal="right" wrapText="1"/>
    </xf>
    <xf numFmtId="165" fontId="2" fillId="0" borderId="2" applyAlignment="1" pivotButton="0" quotePrefix="0" xfId="0">
      <alignment horizontal="right" wrapText="1"/>
    </xf>
    <xf numFmtId="165" fontId="2" fillId="0" borderId="3" applyAlignment="1" pivotButton="0" quotePrefix="0" xfId="0">
      <alignment horizontal="right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workbookViewId="0">
      <selection activeCell="A1" sqref="A1"/>
    </sheetView>
  </sheetViews>
  <sheetFormatPr baseColWidth="8" defaultRowHeight="15"/>
  <cols>
    <col width="35.234375" customWidth="1" min="1" max="1"/>
    <col width="12.03125" customWidth="1" min="2" max="2"/>
  </cols>
  <sheetData>
    <row r="1">
      <c r="A1" s="9" t="inlineStr">
        <is>
          <t>Orion Trading Co.</t>
        </is>
      </c>
    </row>
    <row r="2">
      <c r="A2" s="9" t="inlineStr">
        <is>
          <t>Balance Sheet</t>
        </is>
      </c>
    </row>
    <row r="3">
      <c r="A3" s="10" t="inlineStr">
        <is>
          <t>As of December 31, 2025</t>
        </is>
      </c>
    </row>
    <row r="5">
      <c r="A5" s="1" t="n"/>
      <c r="B5" s="2" t="inlineStr">
        <is>
          <t>Total</t>
        </is>
      </c>
    </row>
    <row r="6">
      <c r="A6" s="3" t="inlineStr">
        <is>
          <t>ASSETS</t>
        </is>
      </c>
      <c r="B6" s="4" t="n"/>
    </row>
    <row r="7">
      <c r="A7" s="3" t="inlineStr">
        <is>
          <t xml:space="preserve">   Current Assets</t>
        </is>
      </c>
      <c r="B7" s="4" t="n"/>
    </row>
    <row r="8">
      <c r="A8" s="3" t="inlineStr">
        <is>
          <t xml:space="preserve">      Bank Accounts</t>
        </is>
      </c>
      <c r="B8" s="4" t="n"/>
    </row>
    <row r="9">
      <c r="A9" s="3" t="inlineStr">
        <is>
          <t xml:space="preserve">         First National Checking</t>
        </is>
      </c>
      <c r="B9" s="5">
        <f>0.00</f>
        <v/>
      </c>
    </row>
    <row r="10">
      <c r="A10" s="3" t="inlineStr">
        <is>
          <t xml:space="preserve">         First National Savings</t>
        </is>
      </c>
      <c r="B10" s="5">
        <f>5.00</f>
        <v/>
      </c>
    </row>
    <row r="11">
      <c r="A11" s="3" t="inlineStr">
        <is>
          <t xml:space="preserve">         Summit OpEx Checking</t>
        </is>
      </c>
      <c r="B11" s="5">
        <f>1984.11</f>
        <v/>
      </c>
    </row>
    <row r="12">
      <c r="A12" s="3" t="inlineStr">
        <is>
          <t xml:space="preserve">      Total Bank Accounts</t>
        </is>
      </c>
      <c r="B12" s="6">
        <f>((B9)+(B10))+(B11)</f>
        <v/>
      </c>
    </row>
    <row r="13">
      <c r="A13" s="3" t="inlineStr">
        <is>
          <t xml:space="preserve">      Accounts Receivable</t>
        </is>
      </c>
      <c r="B13" s="4" t="n"/>
    </row>
    <row r="14">
      <c r="A14" s="3" t="inlineStr">
        <is>
          <t xml:space="preserve">         Accounts Receivable (A/R)</t>
        </is>
      </c>
      <c r="B14" s="5">
        <f>2593.00</f>
        <v/>
      </c>
    </row>
    <row r="15">
      <c r="A15" s="3" t="inlineStr">
        <is>
          <t xml:space="preserve">      Total Accounts Receivable</t>
        </is>
      </c>
      <c r="B15" s="6">
        <f>B14</f>
        <v/>
      </c>
    </row>
    <row r="16">
      <c r="A16" s="3" t="inlineStr">
        <is>
          <t xml:space="preserve">      Other Current Assets</t>
        </is>
      </c>
      <c r="B16" s="4" t="n"/>
    </row>
    <row r="17">
      <c r="A17" s="3" t="inlineStr">
        <is>
          <t xml:space="preserve">         Undeposited Funds</t>
        </is>
      </c>
      <c r="B17" s="5">
        <f>731.00</f>
        <v/>
      </c>
    </row>
    <row r="18">
      <c r="A18" s="3" t="inlineStr">
        <is>
          <t xml:space="preserve">      Total Other Current Assets</t>
        </is>
      </c>
      <c r="B18" s="6">
        <f>B17</f>
        <v/>
      </c>
    </row>
    <row r="19">
      <c r="A19" s="3" t="inlineStr">
        <is>
          <t xml:space="preserve">   Total Current Assets</t>
        </is>
      </c>
      <c r="B19" s="6">
        <f>((B12)+(B15))+(B18)</f>
        <v/>
      </c>
    </row>
    <row r="20">
      <c r="A20" s="3" t="inlineStr">
        <is>
          <t>TOTAL ASSETS</t>
        </is>
      </c>
      <c r="B20" s="7">
        <f>B19</f>
        <v/>
      </c>
    </row>
    <row r="21">
      <c r="A21" s="3" t="inlineStr">
        <is>
          <t>LIABILITIES AND EQUITY</t>
        </is>
      </c>
      <c r="B21" s="4" t="n"/>
    </row>
    <row r="22">
      <c r="A22" s="3" t="inlineStr">
        <is>
          <t xml:space="preserve">   Liabilities</t>
        </is>
      </c>
      <c r="B22" s="4" t="n"/>
    </row>
    <row r="23">
      <c r="A23" s="3" t="inlineStr">
        <is>
          <t xml:space="preserve">      Current Liabilities</t>
        </is>
      </c>
      <c r="B23" s="4" t="n"/>
    </row>
    <row r="24">
      <c r="A24" s="3" t="inlineStr">
        <is>
          <t xml:space="preserve">         Credit Cards</t>
        </is>
      </c>
      <c r="B24" s="4" t="n"/>
    </row>
    <row r="25">
      <c r="A25" s="3" t="inlineStr">
        <is>
          <t xml:space="preserve">            Summit Business Credit Card</t>
        </is>
      </c>
      <c r="B25" s="5">
        <f>0.00</f>
        <v/>
      </c>
    </row>
    <row r="26">
      <c r="A26" s="3" t="inlineStr">
        <is>
          <t xml:space="preserve">         Total Credit Cards</t>
        </is>
      </c>
      <c r="B26" s="6">
        <f>B25</f>
        <v/>
      </c>
    </row>
    <row r="27">
      <c r="A27" s="3" t="inlineStr">
        <is>
          <t xml:space="preserve">         Other Current Liabilities</t>
        </is>
      </c>
      <c r="B27" s="4" t="n"/>
    </row>
    <row r="28">
      <c r="A28" s="3" t="inlineStr">
        <is>
          <t xml:space="preserve">            Accrued payable</t>
        </is>
      </c>
      <c r="B28" s="5">
        <f>-600.41</f>
        <v/>
      </c>
    </row>
    <row r="29">
      <c r="A29" s="3" t="inlineStr">
        <is>
          <t xml:space="preserve">         Total Other Current Liabilities</t>
        </is>
      </c>
      <c r="B29" s="6">
        <f>B28</f>
        <v/>
      </c>
    </row>
    <row r="30">
      <c r="A30" s="3" t="inlineStr">
        <is>
          <t xml:space="preserve">      Total Current Liabilities</t>
        </is>
      </c>
      <c r="B30" s="6">
        <f>(B26)+(B29)</f>
        <v/>
      </c>
    </row>
    <row r="31">
      <c r="A31" s="3" t="inlineStr">
        <is>
          <t xml:space="preserve">      Long-Term Liabilities</t>
        </is>
      </c>
      <c r="B31" s="4" t="n"/>
    </row>
    <row r="32">
      <c r="A32" s="3" t="inlineStr">
        <is>
          <t xml:space="preserve">         Lighthouse Growth Financing</t>
        </is>
      </c>
      <c r="B32" s="5">
        <f>10221.75</f>
        <v/>
      </c>
    </row>
    <row r="33">
      <c r="A33" s="3" t="inlineStr">
        <is>
          <t xml:space="preserve">      Total Long-Term Liabilities</t>
        </is>
      </c>
      <c r="B33" s="6">
        <f>B32</f>
        <v/>
      </c>
    </row>
    <row r="34">
      <c r="A34" s="3" t="inlineStr">
        <is>
          <t xml:space="preserve">   Total Liabilities</t>
        </is>
      </c>
      <c r="B34" s="6">
        <f>(B30)+(B33)</f>
        <v/>
      </c>
    </row>
    <row r="35">
      <c r="A35" s="3" t="inlineStr">
        <is>
          <t xml:space="preserve">   Equity</t>
        </is>
      </c>
      <c r="B35" s="4" t="n"/>
    </row>
    <row r="36">
      <c r="A36" s="3" t="inlineStr">
        <is>
          <t xml:space="preserve">      Opening Balance Equity</t>
        </is>
      </c>
      <c r="B36" s="5">
        <f>6.00</f>
        <v/>
      </c>
    </row>
    <row r="37">
      <c r="A37" s="3" t="inlineStr">
        <is>
          <t xml:space="preserve">      Retained Earnings</t>
        </is>
      </c>
      <c r="B37" s="4" t="n"/>
    </row>
    <row r="38">
      <c r="A38" s="3" t="inlineStr">
        <is>
          <t xml:space="preserve">      Net Income</t>
        </is>
      </c>
      <c r="B38" s="5">
        <f>-4314.23</f>
        <v/>
      </c>
    </row>
    <row r="39">
      <c r="A39" s="3" t="inlineStr">
        <is>
          <t xml:space="preserve">   Total Equity</t>
        </is>
      </c>
      <c r="B39" s="6">
        <f>((B36)+(B37))+(B38)</f>
        <v/>
      </c>
    </row>
    <row r="40">
      <c r="A40" s="3" t="inlineStr">
        <is>
          <t>TOTAL LIABILITIES AND EQUITY</t>
        </is>
      </c>
      <c r="B40" s="7">
        <f>(B34)+(B39)</f>
        <v/>
      </c>
    </row>
    <row r="41">
      <c r="A41" s="3" t="n"/>
      <c r="B41" s="4" t="n"/>
    </row>
    <row r="44">
      <c r="A44" s="8" t="inlineStr">
        <is>
          <t>Tuesday, Apr 21, 2026 10:29:59 AM GMT-7 - Accrual Basis</t>
        </is>
      </c>
    </row>
  </sheetData>
  <mergeCells count="4">
    <mergeCell ref="A3:B3"/>
    <mergeCell ref="A2:B2"/>
    <mergeCell ref="A44:B44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2026-04-22T18:15:34Z</dcterms:modified>
</cp:coreProperties>
</file>