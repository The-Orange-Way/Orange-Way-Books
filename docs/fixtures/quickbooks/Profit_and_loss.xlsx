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rofit and Loss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7">
    <font>
      <name val="Calibri"/>
      <family val="2"/>
      <color indexed="8"/>
      <sz val="11"/>
      <scheme val="minor"/>
    </font>
    <font>
      <name val="Arial"/>
      <b val="1"/>
      <color indexed="8"/>
      <sz val="9"/>
    </font>
    <font>
      <name val="Arial"/>
      <b val="1"/>
      <color indexed="8"/>
      <sz val="8"/>
    </font>
    <font>
      <name val="Arial"/>
      <color indexed="8"/>
      <sz val="8"/>
    </font>
    <font>
      <name val="Arial"/>
      <b val="1"/>
      <color indexed="8"/>
      <sz val="14"/>
    </font>
    <font>
      <name val="Arial"/>
      <b val="1"/>
      <color indexed="8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6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164" fontId="3" fillId="0" borderId="0" applyAlignment="1" pivotButton="0" quotePrefix="0" xfId="0">
      <alignment wrapText="1"/>
    </xf>
    <xf numFmtId="164" fontId="3" fillId="0" borderId="0" applyAlignment="1" pivotButton="0" quotePrefix="0" xfId="0">
      <alignment horizontal="right" wrapText="1"/>
    </xf>
    <xf numFmtId="165" fontId="2" fillId="0" borderId="2" applyAlignment="1" pivotButton="0" quotePrefix="0" xfId="0">
      <alignment horizontal="right" wrapText="1"/>
    </xf>
    <xf numFmtId="165" fontId="2" fillId="0" borderId="3" applyAlignment="1" pivotButton="0" quotePrefix="0" xfId="0">
      <alignment horizontal="right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A1" sqref="A1"/>
    </sheetView>
  </sheetViews>
  <sheetFormatPr baseColWidth="8" defaultRowHeight="15"/>
  <cols>
    <col width="37.8125" customWidth="1" min="1" max="1"/>
    <col width="13.75" customWidth="1" min="2" max="2"/>
  </cols>
  <sheetData>
    <row r="1">
      <c r="A1" s="9" t="inlineStr">
        <is>
          <t>Orion Trading Co.</t>
        </is>
      </c>
    </row>
    <row r="2">
      <c r="A2" s="9" t="inlineStr">
        <is>
          <t>Profit and Loss</t>
        </is>
      </c>
    </row>
    <row r="3">
      <c r="A3" s="10" t="inlineStr">
        <is>
          <t>January - December 2025</t>
        </is>
      </c>
    </row>
    <row r="5">
      <c r="A5" s="1" t="n"/>
      <c r="B5" s="2" t="inlineStr">
        <is>
          <t>Total</t>
        </is>
      </c>
    </row>
    <row r="6">
      <c r="A6" s="3" t="inlineStr">
        <is>
          <t>Income</t>
        </is>
      </c>
      <c r="B6" s="4" t="n"/>
    </row>
    <row r="7">
      <c r="A7" s="3" t="inlineStr">
        <is>
          <t xml:space="preserve">   Initial Sales</t>
        </is>
      </c>
      <c r="B7" s="5">
        <f>9110.03</f>
        <v/>
      </c>
    </row>
    <row r="8">
      <c r="A8" s="3" t="inlineStr">
        <is>
          <t xml:space="preserve">   Upsales</t>
        </is>
      </c>
      <c r="B8" s="5">
        <f>10.00</f>
        <v/>
      </c>
    </row>
    <row r="9">
      <c r="A9" s="3" t="inlineStr">
        <is>
          <t>Total Income</t>
        </is>
      </c>
      <c r="B9" s="6">
        <f>(B7)+(B8)</f>
        <v/>
      </c>
    </row>
    <row r="10">
      <c r="A10" s="3" t="inlineStr">
        <is>
          <t>Gross Profit</t>
        </is>
      </c>
      <c r="B10" s="6">
        <f>(B9)-(0)</f>
        <v/>
      </c>
    </row>
    <row r="11">
      <c r="A11" s="3" t="inlineStr">
        <is>
          <t>Expenses</t>
        </is>
      </c>
      <c r="B11" s="4" t="n"/>
    </row>
    <row r="12">
      <c r="A12" s="3" t="inlineStr">
        <is>
          <t xml:space="preserve">   Advertising</t>
        </is>
      </c>
      <c r="B12" s="5">
        <f>4053.67</f>
        <v/>
      </c>
    </row>
    <row r="13">
      <c r="A13" s="3" t="inlineStr">
        <is>
          <t xml:space="preserve">   Bank Charges</t>
        </is>
      </c>
      <c r="B13" s="5">
        <f>111.22</f>
        <v/>
      </c>
    </row>
    <row r="14">
      <c r="A14" s="3" t="inlineStr">
        <is>
          <t xml:space="preserve">   Communication expense</t>
        </is>
      </c>
      <c r="B14" s="5">
        <f>380.14</f>
        <v/>
      </c>
    </row>
    <row r="15">
      <c r="A15" s="3" t="inlineStr">
        <is>
          <t xml:space="preserve">   Dues &amp; subscriptions</t>
        </is>
      </c>
      <c r="B15" s="5">
        <f>63.84</f>
        <v/>
      </c>
    </row>
    <row r="16">
      <c r="A16" s="3" t="inlineStr">
        <is>
          <t xml:space="preserve">   Insurance</t>
        </is>
      </c>
      <c r="B16" s="5">
        <f>65.00</f>
        <v/>
      </c>
    </row>
    <row r="17">
      <c r="A17" s="3" t="inlineStr">
        <is>
          <t xml:space="preserve">   Interest</t>
        </is>
      </c>
      <c r="B17" s="5">
        <f>251.74</f>
        <v/>
      </c>
    </row>
    <row r="18">
      <c r="A18" s="3" t="inlineStr">
        <is>
          <t xml:space="preserve">   Outside services/Independent contractors</t>
        </is>
      </c>
      <c r="B18" s="5">
        <f>8330.60</f>
        <v/>
      </c>
    </row>
    <row r="19">
      <c r="A19" s="3" t="inlineStr">
        <is>
          <t xml:space="preserve">   QuickBooks Payments Fees</t>
        </is>
      </c>
      <c r="B19" s="5">
        <f>245.27</f>
        <v/>
      </c>
    </row>
    <row r="20">
      <c r="A20" s="3" t="inlineStr">
        <is>
          <t>Total Expenses</t>
        </is>
      </c>
      <c r="B20" s="6">
        <f>(((((((B12)+(B13))+(B14))+(B15))+(B16))+(B17))+(B18))+(B19)</f>
        <v/>
      </c>
    </row>
    <row r="21">
      <c r="A21" s="3" t="inlineStr">
        <is>
          <t>Net Operating Income</t>
        </is>
      </c>
      <c r="B21" s="6">
        <f>(B10)-(B20)</f>
        <v/>
      </c>
    </row>
    <row r="22">
      <c r="A22" s="3" t="inlineStr">
        <is>
          <t>Other Income</t>
        </is>
      </c>
      <c r="B22" s="4" t="n"/>
    </row>
    <row r="23">
      <c r="A23" s="3" t="inlineStr">
        <is>
          <t xml:space="preserve">   Rebate Income</t>
        </is>
      </c>
      <c r="B23" s="5">
        <f>67.22</f>
        <v/>
      </c>
    </row>
    <row r="24">
      <c r="A24" s="3" t="inlineStr">
        <is>
          <t>Total Other Income</t>
        </is>
      </c>
      <c r="B24" s="6">
        <f>B23</f>
        <v/>
      </c>
    </row>
    <row r="25">
      <c r="A25" s="3" t="inlineStr">
        <is>
          <t>Net Other Income</t>
        </is>
      </c>
      <c r="B25" s="6">
        <f>(B24)-(0)</f>
        <v/>
      </c>
    </row>
    <row r="26">
      <c r="A26" s="3" t="inlineStr">
        <is>
          <t>Net Income</t>
        </is>
      </c>
      <c r="B26" s="7">
        <f>(B21)+(B25)</f>
        <v/>
      </c>
    </row>
    <row r="27">
      <c r="A27" s="3" t="n"/>
      <c r="B27" s="4" t="n"/>
    </row>
    <row r="30">
      <c r="A30" s="8" t="inlineStr">
        <is>
          <t>Tuesday, Apr 21, 2026 10:29:59 AM GMT-7 - Accrual Basis</t>
        </is>
      </c>
    </row>
  </sheetData>
  <mergeCells count="4">
    <mergeCell ref="A3:B3"/>
    <mergeCell ref="A30:B30"/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2026-04-21T17:29:59Z</dcterms:created>
  <dcterms:modified xsi:type="dcterms:W3CDTF">2026-04-22T18:15:34Z</dcterms:modified>
</cp:coreProperties>
</file>